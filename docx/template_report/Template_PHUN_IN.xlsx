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BuildProject\SmartFactory\docx\template_report\"/>
    </mc:Choice>
  </mc:AlternateContent>
  <bookViews>
    <workbookView xWindow="0" yWindow="0" windowWidth="28800" windowHeight="11730"/>
  </bookViews>
  <sheets>
    <sheet name="NHAP_PO" sheetId="1" r:id="rId1"/>
    <sheet name="NHAP_NGUYEN_VAT_LIEU" sheetId="2" r:id="rId2"/>
  </sheets>
  <calcPr calcId="162913"/>
</workbook>
</file>

<file path=xl/calcChain.xml><?xml version="1.0" encoding="utf-8"?>
<calcChain xmlns="http://schemas.openxmlformats.org/spreadsheetml/2006/main">
  <c r="I22" i="1" l="1"/>
  <c r="K22" i="1" s="1"/>
  <c r="I17" i="1"/>
  <c r="K17" i="1" s="1"/>
  <c r="I12" i="1"/>
  <c r="K12" i="1" s="1"/>
  <c r="I7" i="1"/>
  <c r="K7" i="1" s="1"/>
  <c r="K2" i="1"/>
  <c r="I2" i="1"/>
  <c r="K27" i="1" l="1"/>
</calcChain>
</file>

<file path=xl/sharedStrings.xml><?xml version="1.0" encoding="utf-8"?>
<sst xmlns="http://schemas.openxmlformats.org/spreadsheetml/2006/main" count="67" uniqueCount="45">
  <si>
    <t>Tên sản phẩm</t>
  </si>
  <si>
    <t>Mã sản phẩm</t>
  </si>
  <si>
    <t>Mã linh kiện</t>
  </si>
  <si>
    <t>Mô tả linh kiện</t>
  </si>
  <si>
    <t>Công đoạn</t>
  </si>
  <si>
    <t>Số lần gia công</t>
  </si>
  <si>
    <t>Đơn giá (VND)</t>
  </si>
  <si>
    <t>Đơn giá chuẩn (VND)</t>
  </si>
  <si>
    <t>Số lượng</t>
  </si>
  <si>
    <t>Đơn giá hợp đồng (PCS)</t>
  </si>
  <si>
    <t>Thành tiền (VND)</t>
  </si>
  <si>
    <t>Ngày hoàn thành</t>
  </si>
  <si>
    <t>Ghi chú</t>
  </si>
  <si>
    <t xml:space="preserve"> Mã sản phẩm:  PKW4180-0002</t>
  </si>
  <si>
    <t>H02-0PKW4180-003</t>
  </si>
  <si>
    <t xml:space="preserve">上身前 thân trên trước </t>
  </si>
  <si>
    <t>散枪</t>
  </si>
  <si>
    <t>夹模</t>
  </si>
  <si>
    <t>边摸</t>
  </si>
  <si>
    <t>移印</t>
  </si>
  <si>
    <t>手油</t>
  </si>
  <si>
    <t>H02-0PKW4180-004</t>
  </si>
  <si>
    <t>H02-0PKW4180-007</t>
  </si>
  <si>
    <t>H02-0PKW4180-016</t>
  </si>
  <si>
    <t>H02-0PKW4180-019</t>
  </si>
  <si>
    <r>
      <rPr>
        <b/>
        <sz val="12"/>
        <rFont val="SimSun"/>
      </rPr>
      <t>产品名称</t>
    </r>
    <r>
      <rPr>
        <b/>
        <sz val="12"/>
        <rFont val="Times New Roman"/>
        <family val="1"/>
      </rPr>
      <t xml:space="preserve"> : </t>
    </r>
    <r>
      <rPr>
        <b/>
        <sz val="12"/>
        <rFont val="SimSun"/>
      </rPr>
      <t>艾路雷朵</t>
    </r>
    <r>
      <rPr>
        <b/>
        <sz val="12"/>
        <rFont val="Times New Roman"/>
        <family val="1"/>
      </rPr>
      <t xml:space="preserve">    Gallade </t>
    </r>
  </si>
  <si>
    <r>
      <rPr>
        <b/>
        <sz val="18"/>
        <rFont val="SimSun"/>
      </rPr>
      <t>上身后</t>
    </r>
    <r>
      <rPr>
        <b/>
        <sz val="18"/>
        <rFont val="Times New Roman"/>
        <family val="1"/>
      </rPr>
      <t xml:space="preserve"> thân trên sau</t>
    </r>
  </si>
  <si>
    <r>
      <rPr>
        <b/>
        <sz val="18"/>
        <rFont val="SimSun"/>
      </rPr>
      <t>脚底盖</t>
    </r>
    <r>
      <rPr>
        <b/>
        <sz val="18"/>
        <rFont val="Times New Roman"/>
        <family val="1"/>
      </rPr>
      <t xml:space="preserve"> nắp dưới bàn chân</t>
    </r>
  </si>
  <si>
    <r>
      <rPr>
        <b/>
        <sz val="18"/>
        <rFont val="SimSun"/>
      </rPr>
      <t>脸</t>
    </r>
    <r>
      <rPr>
        <b/>
        <sz val="18"/>
        <rFont val="Times New Roman"/>
        <family val="1"/>
      </rPr>
      <t xml:space="preserve"> mặt</t>
    </r>
  </si>
  <si>
    <r>
      <rPr>
        <b/>
        <sz val="18"/>
        <rFont val="SimSun"/>
      </rPr>
      <t>左脚</t>
    </r>
    <r>
      <rPr>
        <b/>
        <sz val="18"/>
        <rFont val="Times New Roman"/>
        <family val="1"/>
      </rPr>
      <t xml:space="preserve"> chân trái </t>
    </r>
  </si>
  <si>
    <t>Mã nguyên vật liệu</t>
  </si>
  <si>
    <t>Tên nguyên vật liệu</t>
  </si>
  <si>
    <t>Loại nguyên vật liệu</t>
  </si>
  <si>
    <t>Đơn vị tính</t>
  </si>
  <si>
    <t>Số lượng nhập</t>
  </si>
  <si>
    <t>STEEL-SS400-PHI11</t>
  </si>
  <si>
    <t>Thép tròn SS400 Φ10</t>
  </si>
  <si>
    <t>Thép</t>
  </si>
  <si>
    <t>kg</t>
  </si>
  <si>
    <t>Nhập đầu kỳ tháng 1</t>
  </si>
  <si>
    <t>Gold-GLS400</t>
  </si>
  <si>
    <t>Vàng dòng</t>
  </si>
  <si>
    <t>Vàng</t>
  </si>
  <si>
    <t>Nhập phục vụ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</si>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</sst>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;@"/>
  </numFmts>
  <fonts count="19"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宋体"/>
      <charset val="163"/>
    </font>
    <font>
      <sz val="12"/>
      <color theme="1"/>
      <name val="Arial"/>
      <charset val="134"/>
      <scheme val="minor"/>
    </font>
    <font>
      <sz val="11"/>
      <name val="宋体"/>
      <charset val="134"/>
    </font>
    <font>
      <b/>
      <sz val="11"/>
      <name val="宋体"/>
      <charset val="163"/>
    </font>
    <font>
      <b/>
      <sz val="12"/>
      <name val="Times New Roman"/>
      <family val="1"/>
    </font>
    <font>
      <b/>
      <sz val="12"/>
      <name val="SimSun"/>
    </font>
    <font>
      <b/>
      <sz val="15"/>
      <name val="Times New Roman"/>
      <family val="1"/>
    </font>
    <font>
      <sz val="12"/>
      <name val="Times New Roman"/>
      <family val="1"/>
    </font>
    <font>
      <b/>
      <sz val="18"/>
      <name val="SimSun"/>
    </font>
    <font>
      <b/>
      <sz val="18"/>
      <name val="Times New Roman"/>
      <family val="1"/>
    </font>
    <font>
      <b/>
      <sz val="18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Times New Roman"/>
      <family val="1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34">
    <xf numFmtId="0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2">
    <cellStyle name="Bình thường" xfId="0" builtinId="0"/>
    <cellStyle name="常规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="70" zoomScaleNormal="70" workbookViewId="0">
      <selection activeCell="A27" sqref="A27"/>
    </sheetView>
  </sheetViews>
  <sheetFormatPr defaultRowHeight="15"/>
  <cols>
    <col min="1" max="1" width="14" customWidth="1"/>
    <col min="2" max="2" width="16.77734375" customWidth="1"/>
    <col min="3" max="3" width="17.77734375" customWidth="1"/>
    <col min="4" max="4" width="17.109375" customWidth="1"/>
    <col min="5" max="5" width="17.33203125" customWidth="1"/>
    <col min="6" max="6" width="17.109375" customWidth="1"/>
    <col min="7" max="7" width="21.88671875" customWidth="1"/>
    <col min="8" max="8" width="21" customWidth="1"/>
    <col min="9" max="9" width="13.88671875" customWidth="1"/>
    <col min="10" max="10" width="29" customWidth="1"/>
    <col min="11" max="11" width="17.33203125" customWidth="1"/>
    <col min="12" max="12" width="14.88671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8.75">
      <c r="A2" s="26" t="s">
        <v>25</v>
      </c>
      <c r="B2" s="20" t="s">
        <v>13</v>
      </c>
      <c r="C2" s="20" t="s">
        <v>14</v>
      </c>
      <c r="D2" s="20" t="s">
        <v>15</v>
      </c>
      <c r="E2" s="1" t="s">
        <v>16</v>
      </c>
      <c r="F2" s="6">
        <v>0</v>
      </c>
      <c r="G2" s="7">
        <v>217</v>
      </c>
      <c r="H2" s="7">
        <v>217</v>
      </c>
      <c r="I2" s="28">
        <f>H2*F2+F3*H3+F4*H4+H5*F5+H6*F6</f>
        <v>217</v>
      </c>
      <c r="J2" s="31">
        <v>35000</v>
      </c>
      <c r="K2" s="23">
        <f>+J2*I2</f>
        <v>7595000</v>
      </c>
      <c r="L2" s="2"/>
      <c r="M2" s="3"/>
    </row>
    <row r="3" spans="1:13" ht="18.75">
      <c r="A3" s="27"/>
      <c r="B3" s="21"/>
      <c r="C3" s="21"/>
      <c r="D3" s="21"/>
      <c r="E3" s="1" t="s">
        <v>17</v>
      </c>
      <c r="F3" s="6">
        <v>1</v>
      </c>
      <c r="G3" s="7">
        <v>217</v>
      </c>
      <c r="H3" s="7">
        <v>217</v>
      </c>
      <c r="I3" s="29"/>
      <c r="J3" s="32"/>
      <c r="K3" s="24"/>
      <c r="L3" s="2"/>
      <c r="M3" s="3"/>
    </row>
    <row r="4" spans="1:13" ht="18.75">
      <c r="A4" s="27"/>
      <c r="B4" s="21"/>
      <c r="C4" s="21"/>
      <c r="D4" s="21"/>
      <c r="E4" s="1" t="s">
        <v>18</v>
      </c>
      <c r="F4" s="6">
        <v>0</v>
      </c>
      <c r="G4" s="7">
        <v>217</v>
      </c>
      <c r="H4" s="7">
        <v>217</v>
      </c>
      <c r="I4" s="29"/>
      <c r="J4" s="32"/>
      <c r="K4" s="24"/>
      <c r="L4" s="2"/>
      <c r="M4" s="3"/>
    </row>
    <row r="5" spans="1:13" ht="18.75">
      <c r="A5" s="27"/>
      <c r="B5" s="21"/>
      <c r="C5" s="21"/>
      <c r="D5" s="21"/>
      <c r="E5" s="1" t="s">
        <v>19</v>
      </c>
      <c r="F5" s="6">
        <v>0</v>
      </c>
      <c r="G5" s="7">
        <v>122</v>
      </c>
      <c r="H5" s="7">
        <v>122</v>
      </c>
      <c r="I5" s="29"/>
      <c r="J5" s="32"/>
      <c r="K5" s="24"/>
      <c r="L5" s="2"/>
      <c r="M5" s="3"/>
    </row>
    <row r="6" spans="1:13" ht="18.75">
      <c r="A6" s="27"/>
      <c r="B6" s="21"/>
      <c r="C6" s="22"/>
      <c r="D6" s="22"/>
      <c r="E6" s="4" t="s">
        <v>20</v>
      </c>
      <c r="F6" s="5">
        <v>0</v>
      </c>
      <c r="G6" s="7">
        <v>238</v>
      </c>
      <c r="H6" s="7">
        <v>238</v>
      </c>
      <c r="I6" s="30"/>
      <c r="J6" s="33"/>
      <c r="K6" s="25"/>
      <c r="L6" s="2"/>
      <c r="M6" s="3"/>
    </row>
    <row r="7" spans="1:13" ht="18.75">
      <c r="A7" s="27"/>
      <c r="B7" s="21"/>
      <c r="C7" s="20" t="s">
        <v>21</v>
      </c>
      <c r="D7" s="20" t="s">
        <v>26</v>
      </c>
      <c r="E7" s="1" t="s">
        <v>16</v>
      </c>
      <c r="F7" s="6">
        <v>0</v>
      </c>
      <c r="G7" s="7">
        <v>217</v>
      </c>
      <c r="H7" s="7">
        <v>217</v>
      </c>
      <c r="I7" s="28">
        <f>H7*F7+F8*H8+F9*H9+H10*F10+H11*F11</f>
        <v>217</v>
      </c>
      <c r="J7" s="31">
        <v>35000</v>
      </c>
      <c r="K7" s="23">
        <f>+J7*I7</f>
        <v>7595000</v>
      </c>
      <c r="L7" s="2"/>
      <c r="M7" s="3"/>
    </row>
    <row r="8" spans="1:13" ht="18.75">
      <c r="A8" s="27"/>
      <c r="B8" s="21"/>
      <c r="C8" s="21"/>
      <c r="D8" s="21"/>
      <c r="E8" s="1" t="s">
        <v>17</v>
      </c>
      <c r="F8" s="6">
        <v>1</v>
      </c>
      <c r="G8" s="7">
        <v>217</v>
      </c>
      <c r="H8" s="7">
        <v>217</v>
      </c>
      <c r="I8" s="29"/>
      <c r="J8" s="32"/>
      <c r="K8" s="24"/>
      <c r="L8" s="2"/>
      <c r="M8" s="3"/>
    </row>
    <row r="9" spans="1:13" ht="18.75">
      <c r="A9" s="27"/>
      <c r="B9" s="21"/>
      <c r="C9" s="21"/>
      <c r="D9" s="21"/>
      <c r="E9" s="1" t="s">
        <v>18</v>
      </c>
      <c r="F9" s="6">
        <v>0</v>
      </c>
      <c r="G9" s="7">
        <v>217</v>
      </c>
      <c r="H9" s="7">
        <v>217</v>
      </c>
      <c r="I9" s="29"/>
      <c r="J9" s="32"/>
      <c r="K9" s="24"/>
      <c r="L9" s="2"/>
      <c r="M9" s="3"/>
    </row>
    <row r="10" spans="1:13" ht="18.75">
      <c r="A10" s="27"/>
      <c r="B10" s="21"/>
      <c r="C10" s="21"/>
      <c r="D10" s="21"/>
      <c r="E10" s="1" t="s">
        <v>19</v>
      </c>
      <c r="F10" s="6">
        <v>0</v>
      </c>
      <c r="G10" s="7">
        <v>122</v>
      </c>
      <c r="H10" s="7">
        <v>122</v>
      </c>
      <c r="I10" s="29"/>
      <c r="J10" s="32"/>
      <c r="K10" s="24"/>
      <c r="L10" s="2"/>
      <c r="M10" s="3"/>
    </row>
    <row r="11" spans="1:13" ht="18.75">
      <c r="A11" s="27"/>
      <c r="B11" s="21"/>
      <c r="C11" s="22"/>
      <c r="D11" s="22"/>
      <c r="E11" s="4" t="s">
        <v>20</v>
      </c>
      <c r="F11" s="5">
        <v>0</v>
      </c>
      <c r="G11" s="7">
        <v>238</v>
      </c>
      <c r="H11" s="7">
        <v>238</v>
      </c>
      <c r="I11" s="30"/>
      <c r="J11" s="33"/>
      <c r="K11" s="25"/>
      <c r="L11" s="2"/>
      <c r="M11" s="3"/>
    </row>
    <row r="12" spans="1:13" ht="18.75">
      <c r="A12" s="27"/>
      <c r="B12" s="21"/>
      <c r="C12" s="20" t="s">
        <v>22</v>
      </c>
      <c r="D12" s="20" t="s">
        <v>27</v>
      </c>
      <c r="E12" s="1" t="s">
        <v>16</v>
      </c>
      <c r="F12" s="6">
        <v>0</v>
      </c>
      <c r="G12" s="7">
        <v>217</v>
      </c>
      <c r="H12" s="7">
        <v>217</v>
      </c>
      <c r="I12" s="28">
        <f>H12*F12+F13*H13+F14*H14+H15*F15+H16*F16</f>
        <v>125</v>
      </c>
      <c r="J12" s="31">
        <v>35000</v>
      </c>
      <c r="K12" s="23">
        <f>+J12*I12</f>
        <v>4375000</v>
      </c>
      <c r="L12" s="2"/>
      <c r="M12" s="3"/>
    </row>
    <row r="13" spans="1:13" ht="18.75">
      <c r="A13" s="27"/>
      <c r="B13" s="21"/>
      <c r="C13" s="21"/>
      <c r="D13" s="21"/>
      <c r="E13" s="1" t="s">
        <v>17</v>
      </c>
      <c r="F13" s="6">
        <v>0</v>
      </c>
      <c r="G13" s="7">
        <v>259</v>
      </c>
      <c r="H13" s="7">
        <v>259</v>
      </c>
      <c r="I13" s="29"/>
      <c r="J13" s="32"/>
      <c r="K13" s="24"/>
      <c r="L13" s="2"/>
      <c r="M13" s="3"/>
    </row>
    <row r="14" spans="1:13" ht="18.75">
      <c r="A14" s="27"/>
      <c r="B14" s="21"/>
      <c r="C14" s="21"/>
      <c r="D14" s="21"/>
      <c r="E14" s="1" t="s">
        <v>18</v>
      </c>
      <c r="F14" s="6">
        <v>0</v>
      </c>
      <c r="G14" s="7">
        <v>217</v>
      </c>
      <c r="H14" s="7">
        <v>217</v>
      </c>
      <c r="I14" s="29"/>
      <c r="J14" s="32"/>
      <c r="K14" s="24"/>
      <c r="L14" s="2"/>
      <c r="M14" s="3"/>
    </row>
    <row r="15" spans="1:13" ht="18.75">
      <c r="A15" s="27"/>
      <c r="B15" s="21"/>
      <c r="C15" s="21"/>
      <c r="D15" s="21"/>
      <c r="E15" s="1" t="s">
        <v>19</v>
      </c>
      <c r="F15" s="6">
        <v>1</v>
      </c>
      <c r="G15" s="7">
        <v>125</v>
      </c>
      <c r="H15" s="7">
        <v>125</v>
      </c>
      <c r="I15" s="29"/>
      <c r="J15" s="32"/>
      <c r="K15" s="24"/>
      <c r="L15" s="2"/>
      <c r="M15" s="3"/>
    </row>
    <row r="16" spans="1:13" ht="18.75">
      <c r="A16" s="27"/>
      <c r="B16" s="21"/>
      <c r="C16" s="22"/>
      <c r="D16" s="22"/>
      <c r="E16" s="4" t="s">
        <v>20</v>
      </c>
      <c r="F16" s="5">
        <v>0</v>
      </c>
      <c r="G16" s="7">
        <v>238</v>
      </c>
      <c r="H16" s="7">
        <v>238</v>
      </c>
      <c r="I16" s="30"/>
      <c r="J16" s="33"/>
      <c r="K16" s="25"/>
      <c r="L16" s="2"/>
      <c r="M16" s="3"/>
    </row>
    <row r="17" spans="1:13" ht="18.75">
      <c r="A17" s="27"/>
      <c r="B17" s="21"/>
      <c r="C17" s="20" t="s">
        <v>23</v>
      </c>
      <c r="D17" s="20" t="s">
        <v>28</v>
      </c>
      <c r="E17" s="1" t="s">
        <v>16</v>
      </c>
      <c r="F17" s="6">
        <v>0</v>
      </c>
      <c r="G17" s="7">
        <v>217</v>
      </c>
      <c r="H17" s="7">
        <v>217</v>
      </c>
      <c r="I17" s="28">
        <f>H17*F17+F18*H18+F19*H19+H20*F20+H21*F21</f>
        <v>1000</v>
      </c>
      <c r="J17" s="31">
        <v>35000</v>
      </c>
      <c r="K17" s="23">
        <f>+J17*I17</f>
        <v>35000000</v>
      </c>
      <c r="L17" s="2"/>
      <c r="M17" s="3"/>
    </row>
    <row r="18" spans="1:13" ht="18.75">
      <c r="A18" s="27"/>
      <c r="B18" s="21"/>
      <c r="C18" s="21"/>
      <c r="D18" s="21"/>
      <c r="E18" s="1" t="s">
        <v>17</v>
      </c>
      <c r="F18" s="6">
        <v>0</v>
      </c>
      <c r="G18" s="7">
        <v>259</v>
      </c>
      <c r="H18" s="7">
        <v>259</v>
      </c>
      <c r="I18" s="29"/>
      <c r="J18" s="32"/>
      <c r="K18" s="24"/>
      <c r="L18" s="2"/>
      <c r="M18" s="3"/>
    </row>
    <row r="19" spans="1:13" ht="18.75">
      <c r="A19" s="27"/>
      <c r="B19" s="21"/>
      <c r="C19" s="21"/>
      <c r="D19" s="21"/>
      <c r="E19" s="1" t="s">
        <v>18</v>
      </c>
      <c r="F19" s="6">
        <v>0</v>
      </c>
      <c r="G19" s="7">
        <v>217</v>
      </c>
      <c r="H19" s="7">
        <v>217</v>
      </c>
      <c r="I19" s="29"/>
      <c r="J19" s="32"/>
      <c r="K19" s="24"/>
      <c r="L19" s="2"/>
      <c r="M19" s="3"/>
    </row>
    <row r="20" spans="1:13" ht="18.75">
      <c r="A20" s="27"/>
      <c r="B20" s="21"/>
      <c r="C20" s="21"/>
      <c r="D20" s="21"/>
      <c r="E20" s="1" t="s">
        <v>19</v>
      </c>
      <c r="F20" s="6">
        <v>8</v>
      </c>
      <c r="G20" s="7">
        <v>125</v>
      </c>
      <c r="H20" s="7">
        <v>125</v>
      </c>
      <c r="I20" s="29"/>
      <c r="J20" s="32"/>
      <c r="K20" s="24"/>
      <c r="L20" s="2"/>
      <c r="M20" s="3"/>
    </row>
    <row r="21" spans="1:13" ht="18.75">
      <c r="A21" s="27"/>
      <c r="B21" s="21"/>
      <c r="C21" s="22"/>
      <c r="D21" s="22"/>
      <c r="E21" s="4" t="s">
        <v>20</v>
      </c>
      <c r="F21" s="5">
        <v>0</v>
      </c>
      <c r="G21" s="7">
        <v>238</v>
      </c>
      <c r="H21" s="7">
        <v>238</v>
      </c>
      <c r="I21" s="30"/>
      <c r="J21" s="33"/>
      <c r="K21" s="25"/>
      <c r="L21" s="2"/>
      <c r="M21" s="3"/>
    </row>
    <row r="22" spans="1:13" ht="18.75">
      <c r="A22" s="27"/>
      <c r="B22" s="21"/>
      <c r="C22" s="20" t="s">
        <v>24</v>
      </c>
      <c r="D22" s="20" t="s">
        <v>29</v>
      </c>
      <c r="E22" s="1" t="s">
        <v>16</v>
      </c>
      <c r="F22" s="6">
        <v>0</v>
      </c>
      <c r="G22" s="7">
        <v>217</v>
      </c>
      <c r="H22" s="7">
        <v>217</v>
      </c>
      <c r="I22" s="28">
        <f>H22*F22+F23*H23+F24*H24+H25*F25+H26*F26</f>
        <v>250</v>
      </c>
      <c r="J22" s="31">
        <v>35000</v>
      </c>
      <c r="K22" s="23">
        <f>+J22*I22</f>
        <v>8750000</v>
      </c>
      <c r="L22" s="2"/>
      <c r="M22" s="3"/>
    </row>
    <row r="23" spans="1:13" ht="18.75">
      <c r="A23" s="27"/>
      <c r="B23" s="21"/>
      <c r="C23" s="21"/>
      <c r="D23" s="21"/>
      <c r="E23" s="1" t="s">
        <v>17</v>
      </c>
      <c r="F23" s="6">
        <v>0</v>
      </c>
      <c r="G23" s="7">
        <v>259</v>
      </c>
      <c r="H23" s="7">
        <v>259</v>
      </c>
      <c r="I23" s="29"/>
      <c r="J23" s="32"/>
      <c r="K23" s="24"/>
      <c r="L23" s="2"/>
      <c r="M23" s="3"/>
    </row>
    <row r="24" spans="1:13" ht="18.75">
      <c r="A24" s="27"/>
      <c r="B24" s="21"/>
      <c r="C24" s="21"/>
      <c r="D24" s="21"/>
      <c r="E24" s="1" t="s">
        <v>18</v>
      </c>
      <c r="F24" s="6">
        <v>0</v>
      </c>
      <c r="G24" s="7">
        <v>217</v>
      </c>
      <c r="H24" s="7">
        <v>217</v>
      </c>
      <c r="I24" s="29"/>
      <c r="J24" s="32"/>
      <c r="K24" s="24"/>
      <c r="L24" s="2"/>
      <c r="M24" s="3"/>
    </row>
    <row r="25" spans="1:13" ht="18.75">
      <c r="A25" s="27"/>
      <c r="B25" s="21"/>
      <c r="C25" s="21"/>
      <c r="D25" s="21"/>
      <c r="E25" s="1" t="s">
        <v>19</v>
      </c>
      <c r="F25" s="6">
        <v>2</v>
      </c>
      <c r="G25" s="7">
        <v>125</v>
      </c>
      <c r="H25" s="7">
        <v>125</v>
      </c>
      <c r="I25" s="29"/>
      <c r="J25" s="32"/>
      <c r="K25" s="24"/>
      <c r="L25" s="2"/>
      <c r="M25" s="3"/>
    </row>
    <row r="26" spans="1:13" ht="18.75">
      <c r="A26" s="27"/>
      <c r="B26" s="21"/>
      <c r="C26" s="22"/>
      <c r="D26" s="22"/>
      <c r="E26" s="4" t="s">
        <v>20</v>
      </c>
      <c r="F26" s="5">
        <v>0</v>
      </c>
      <c r="G26" s="7">
        <v>238</v>
      </c>
      <c r="H26" s="7">
        <v>238</v>
      </c>
      <c r="I26" s="30"/>
      <c r="J26" s="33"/>
      <c r="K26" s="25"/>
      <c r="L26" s="2"/>
      <c r="M26" s="3"/>
    </row>
    <row r="27" spans="1:13" ht="23.25">
      <c r="A27" s="8" t="s">
        <v>44</v>
      </c>
      <c r="B27" s="9"/>
      <c r="C27" s="10"/>
      <c r="D27" s="11"/>
      <c r="E27" s="12"/>
      <c r="F27" s="9"/>
      <c r="G27" s="9"/>
      <c r="H27" s="9"/>
      <c r="I27" s="13"/>
      <c r="J27" s="14"/>
      <c r="K27" s="15">
        <f>SUM(K2:K26)</f>
        <v>63315000</v>
      </c>
      <c r="L27" s="16"/>
      <c r="M27" s="17"/>
    </row>
  </sheetData>
  <mergeCells count="27">
    <mergeCell ref="A2:A26"/>
    <mergeCell ref="B2:B26"/>
    <mergeCell ref="I2:I6"/>
    <mergeCell ref="J2:J6"/>
    <mergeCell ref="K2:K6"/>
    <mergeCell ref="I7:I11"/>
    <mergeCell ref="J7:J11"/>
    <mergeCell ref="K7:K11"/>
    <mergeCell ref="I12:I16"/>
    <mergeCell ref="J12:J16"/>
    <mergeCell ref="K12:K16"/>
    <mergeCell ref="I17:I21"/>
    <mergeCell ref="J17:J21"/>
    <mergeCell ref="K17:K21"/>
    <mergeCell ref="I22:I26"/>
    <mergeCell ref="J22:J26"/>
    <mergeCell ref="K22:K26"/>
    <mergeCell ref="C17:C21"/>
    <mergeCell ref="D17:D21"/>
    <mergeCell ref="C22:C26"/>
    <mergeCell ref="D22:D26"/>
    <mergeCell ref="C2:C6"/>
    <mergeCell ref="D2:D6"/>
    <mergeCell ref="C7:C11"/>
    <mergeCell ref="D7:D11"/>
    <mergeCell ref="C12:C16"/>
    <mergeCell ref="D12:D16"/>
  </mergeCells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B4" sqref="B4"/>
    </sheetView>
  </sheetViews>
  <sheetFormatPr defaultRowHeight="15"/>
  <cols>
    <col min="1" max="1" width="21.44140625" customWidth="1"/>
    <col min="2" max="2" width="21.88671875" customWidth="1"/>
    <col min="3" max="3" width="19.5546875" customWidth="1"/>
    <col min="4" max="4" width="21.6640625" customWidth="1"/>
    <col min="5" max="5" width="22.21875" customWidth="1"/>
    <col min="6" max="6" width="44.88671875" customWidth="1"/>
  </cols>
  <sheetData>
    <row r="1" spans="1:6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12</v>
      </c>
    </row>
    <row r="2" spans="1:6">
      <c r="A2" s="18" t="s">
        <v>35</v>
      </c>
      <c r="B2" s="18" t="s">
        <v>36</v>
      </c>
      <c r="C2" s="18" t="s">
        <v>37</v>
      </c>
      <c r="D2" s="18" t="s">
        <v>38</v>
      </c>
      <c r="E2" s="18">
        <v>10000</v>
      </c>
      <c r="F2" s="19" t="s">
        <v>39</v>
      </c>
    </row>
    <row r="3" spans="1:6">
      <c r="A3" s="18" t="s">
        <v>40</v>
      </c>
      <c r="B3" s="18" t="s">
        <v>41</v>
      </c>
      <c r="C3" s="18" t="s">
        <v>42</v>
      </c>
      <c r="D3" s="18" t="s">
        <v>38</v>
      </c>
      <c r="E3" s="18">
        <v>1000</v>
      </c>
      <c r="F3" s="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NHAP_PO</vt:lpstr>
      <vt:lpstr>NHAP_NGUYEN_VAT_LIEU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PC-1</cp:lastModifiedBy>
  <dcterms:modified xsi:type="dcterms:W3CDTF">2026-01-09T16:15:16Z</dcterms:modified>
</cp:coreProperties>
</file>