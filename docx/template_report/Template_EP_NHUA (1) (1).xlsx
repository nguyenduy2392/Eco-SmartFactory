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BuildProject\SmartFactory\docx\template_report\"/>
    </mc:Choice>
  </mc:AlternateContent>
  <bookViews>
    <workbookView xWindow="0" yWindow="0" windowWidth="25125" windowHeight="11730"/>
  </bookViews>
  <sheets>
    <sheet name="NHAP_PO" sheetId="3" r:id="rId1"/>
    <sheet name="NHAP_NGUYEN_VAT_LIEU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S2" i="3"/>
  <c r="U2" i="3"/>
  <c r="S3" i="3"/>
  <c r="S4" i="3"/>
  <c r="S5" i="3"/>
  <c r="S6" i="3"/>
  <c r="U6" i="3"/>
  <c r="S7" i="3"/>
  <c r="S8" i="3"/>
  <c r="S9" i="3"/>
  <c r="S10" i="3"/>
  <c r="U10" i="3"/>
  <c r="S11" i="3"/>
  <c r="U11" i="3"/>
  <c r="S12" i="3"/>
</calcChain>
</file>

<file path=xl/sharedStrings.xml><?xml version="1.0" encoding="utf-8"?>
<sst xmlns="http://schemas.openxmlformats.org/spreadsheetml/2006/main" count="82" uniqueCount="75">
  <si>
    <t>Tên sản phẩm</t>
  </si>
  <si>
    <t>Mã khuôn / Model</t>
  </si>
  <si>
    <t>Mã linh kiện</t>
  </si>
  <si>
    <t>Tên linh kiện</t>
  </si>
  <si>
    <t>Vật liệu</t>
  </si>
  <si>
    <t>Mã màu</t>
  </si>
  <si>
    <t>Màu sắc</t>
  </si>
  <si>
    <t>Số lòng khuôn</t>
  </si>
  <si>
    <t>Chu kỳ (s)</t>
  </si>
  <si>
    <t>Số lượng (PCS)</t>
  </si>
  <si>
    <t>Đơn giá (VND)</t>
  </si>
  <si>
    <t>Thành tiền (VND)</t>
  </si>
  <si>
    <t>JAZ-PKW4180-T01-01</t>
  </si>
  <si>
    <t>H02-0PKW4180-001</t>
  </si>
  <si>
    <t>ABS 15A1-H</t>
  </si>
  <si>
    <t>3-25962</t>
  </si>
  <si>
    <t>H02-0PKW4180-002</t>
  </si>
  <si>
    <t>JAZ-PKW4180-T02-01</t>
  </si>
  <si>
    <t>H02-0PKW4180-006</t>
  </si>
  <si>
    <t>3-25963</t>
  </si>
  <si>
    <t>JAZ-PKW4180-T03-01</t>
  </si>
  <si>
    <t>H02-0PKW4180-009</t>
  </si>
  <si>
    <t>3-25964</t>
  </si>
  <si>
    <t>H02-0PKW4180-010</t>
  </si>
  <si>
    <t>3-25965</t>
  </si>
  <si>
    <t>Bộ</t>
  </si>
  <si>
    <t>Trọng lượng tịnh (g)</t>
  </si>
  <si>
    <t>Trọng lượng tổng</t>
  </si>
  <si>
    <t>Số máy ép</t>
  </si>
  <si>
    <t>Lượng nhựa cần</t>
  </si>
  <si>
    <t>Lượng màu cần</t>
  </si>
  <si>
    <t>Số lần ép</t>
  </si>
  <si>
    <t xml:space="preserve"> VM-TMTR - 00002</t>
  </si>
  <si>
    <t>80T</t>
  </si>
  <si>
    <t>H02-0PKW4180-003</t>
  </si>
  <si>
    <t>H02-0PKW4180-004</t>
  </si>
  <si>
    <t>H02-0PKW4180-005</t>
  </si>
  <si>
    <t>H02-0PKW4180-007</t>
  </si>
  <si>
    <t>H02-0PKW4180-008</t>
  </si>
  <si>
    <t>H02-0PKW4180-011</t>
  </si>
  <si>
    <t>Số seri</t>
  </si>
  <si>
    <t>Số lượng</t>
  </si>
  <si>
    <r>
      <rPr>
        <b/>
        <sz val="22"/>
        <color theme="1"/>
        <rFont val="SimSun"/>
        <charset val="134"/>
      </rPr>
      <t>产品名称</t>
    </r>
    <r>
      <rPr>
        <b/>
        <sz val="22"/>
        <color theme="1"/>
        <rFont val="Times New Roman"/>
        <charset val="134"/>
      </rPr>
      <t xml:space="preserve"> :  PKW4180
</t>
    </r>
  </si>
  <si>
    <r>
      <t>左半头</t>
    </r>
    <r>
      <rPr>
        <sz val="16"/>
        <rFont val="Times New Roman"/>
        <family val="1"/>
      </rPr>
      <t xml:space="preserve"> nửa đầu trái</t>
    </r>
  </si>
  <si>
    <r>
      <t xml:space="preserve">PMS 340C 
</t>
    </r>
    <r>
      <rPr>
        <sz val="16"/>
        <rFont val="宋体"/>
        <charset val="134"/>
      </rPr>
      <t>绿色</t>
    </r>
    <r>
      <rPr>
        <sz val="16"/>
        <rFont val="Times New Roman"/>
        <family val="1"/>
      </rPr>
      <t xml:space="preserve"> xanh lá/</t>
    </r>
    <r>
      <rPr>
        <sz val="16"/>
        <rFont val="宋体"/>
        <charset val="134"/>
      </rPr>
      <t>永丰</t>
    </r>
  </si>
  <si>
    <r>
      <t>右半头</t>
    </r>
    <r>
      <rPr>
        <sz val="16"/>
        <rFont val="Times New Roman"/>
        <family val="1"/>
      </rPr>
      <t xml:space="preserve"> nửa đầu phải </t>
    </r>
  </si>
  <si>
    <r>
      <t>上身前</t>
    </r>
    <r>
      <rPr>
        <sz val="16"/>
        <rFont val="Times New Roman"/>
        <family val="1"/>
      </rPr>
      <t xml:space="preserve"> thân trên trước </t>
    </r>
  </si>
  <si>
    <r>
      <t>上身后</t>
    </r>
    <r>
      <rPr>
        <sz val="16"/>
        <rFont val="Times New Roman"/>
        <family val="1"/>
      </rPr>
      <t xml:space="preserve"> thân trên sau</t>
    </r>
  </si>
  <si>
    <r>
      <t>下身前</t>
    </r>
    <r>
      <rPr>
        <sz val="16"/>
        <rFont val="Times New Roman"/>
        <family val="1"/>
      </rPr>
      <t xml:space="preserve"> thân dưới trước </t>
    </r>
  </si>
  <si>
    <r>
      <t xml:space="preserve">PMS 7541C 
</t>
    </r>
    <r>
      <rPr>
        <sz val="16"/>
        <rFont val="宋体"/>
        <charset val="134"/>
      </rPr>
      <t>浅蓝</t>
    </r>
    <r>
      <rPr>
        <sz val="16"/>
        <rFont val="Times New Roman"/>
        <family val="1"/>
      </rPr>
      <t>xanh nhạt/</t>
    </r>
    <r>
      <rPr>
        <sz val="16"/>
        <rFont val="宋体"/>
        <charset val="134"/>
      </rPr>
      <t>永丰</t>
    </r>
  </si>
  <si>
    <r>
      <t>下身后</t>
    </r>
    <r>
      <rPr>
        <sz val="16"/>
        <rFont val="Times New Roman"/>
        <family val="1"/>
      </rPr>
      <t xml:space="preserve"> thân dưới sau</t>
    </r>
  </si>
  <si>
    <r>
      <t>脚底盖</t>
    </r>
    <r>
      <rPr>
        <sz val="16"/>
        <rFont val="Times New Roman"/>
        <family val="1"/>
      </rPr>
      <t xml:space="preserve"> nắp dưới bàn chân</t>
    </r>
  </si>
  <si>
    <r>
      <t>上身后六角装配件</t>
    </r>
    <r>
      <rPr>
        <sz val="16"/>
        <rFont val="Times New Roman"/>
        <family val="1"/>
      </rPr>
      <t xml:space="preserve"> Phụ kiện lục giác ở mặt sau </t>
    </r>
  </si>
  <si>
    <r>
      <t>头鳍</t>
    </r>
    <r>
      <rPr>
        <sz val="16"/>
        <rFont val="Times New Roman"/>
        <family val="1"/>
      </rPr>
      <t xml:space="preserve"> Vây đầu</t>
    </r>
  </si>
  <si>
    <r>
      <t>95</t>
    </r>
    <r>
      <rPr>
        <sz val="16"/>
        <rFont val="宋体"/>
        <charset val="134"/>
      </rPr>
      <t>度</t>
    </r>
    <r>
      <rPr>
        <sz val="16"/>
        <rFont val="Times New Roman"/>
        <family val="1"/>
      </rPr>
      <t xml:space="preserve"> </t>
    </r>
    <r>
      <rPr>
        <sz val="16"/>
        <rFont val="宋体"/>
        <charset val="134"/>
      </rPr>
      <t>本白</t>
    </r>
    <r>
      <rPr>
        <sz val="16"/>
        <rFont val="Times New Roman"/>
        <family val="1"/>
      </rPr>
      <t xml:space="preserve"> trắng gốc PVC</t>
    </r>
    <r>
      <rPr>
        <sz val="16"/>
        <rFont val="宋体"/>
        <charset val="134"/>
      </rPr>
      <t>（利泽）</t>
    </r>
  </si>
  <si>
    <r>
      <t xml:space="preserve">PMS 7458C
</t>
    </r>
    <r>
      <rPr>
        <sz val="16"/>
        <rFont val="宋体"/>
        <charset val="134"/>
      </rPr>
      <t>蓝色</t>
    </r>
    <r>
      <rPr>
        <sz val="16"/>
        <rFont val="Times New Roman"/>
        <family val="1"/>
      </rPr>
      <t>xanh da trời /</t>
    </r>
    <r>
      <rPr>
        <sz val="16"/>
        <rFont val="宋体"/>
        <charset val="134"/>
      </rPr>
      <t>永丰</t>
    </r>
  </si>
  <si>
    <r>
      <t>胸鳍</t>
    </r>
    <r>
      <rPr>
        <sz val="16"/>
        <rFont val="Times New Roman"/>
        <family val="1"/>
      </rPr>
      <t xml:space="preserve"> vây ngực</t>
    </r>
  </si>
  <si>
    <r>
      <t xml:space="preserve">PMS 198C 
</t>
    </r>
    <r>
      <rPr>
        <sz val="16"/>
        <rFont val="宋体"/>
        <charset val="134"/>
      </rPr>
      <t>红色</t>
    </r>
    <r>
      <rPr>
        <sz val="16"/>
        <rFont val="Times New Roman"/>
        <family val="1"/>
      </rPr>
      <t xml:space="preserve"> đỏ /</t>
    </r>
    <r>
      <rPr>
        <sz val="16"/>
        <rFont val="宋体"/>
        <charset val="134"/>
      </rPr>
      <t>永丰</t>
    </r>
  </si>
  <si>
    <r>
      <t>背鳍</t>
    </r>
    <r>
      <rPr>
        <sz val="16"/>
        <rFont val="Times New Roman"/>
        <family val="1"/>
      </rPr>
      <t xml:space="preserve"> Vây lưng</t>
    </r>
  </si>
  <si>
    <t>Mã nguyên vật liệu</t>
  </si>
  <si>
    <t>Tên nguyên vật liệu</t>
  </si>
  <si>
    <t>Loại nguyên vật liệu</t>
  </si>
  <si>
    <t>Đơn vị tính</t>
  </si>
  <si>
    <t>Số lượng nhập</t>
  </si>
  <si>
    <t>Ghi chú</t>
  </si>
  <si>
    <t>Thép tròn SS400 Φ10</t>
  </si>
  <si>
    <t>Thép</t>
  </si>
  <si>
    <t>kg</t>
  </si>
  <si>
    <t>Nhập đầu kỳ tháng 1</t>
  </si>
  <si>
    <t>STEEL-SS400-PHI11</t>
  </si>
  <si>
    <t>Gold-GLS400</t>
  </si>
  <si>
    <t>Vàng dòng</t>
  </si>
  <si>
    <t>Vàng</t>
  </si>
  <si>
    <t>Nhập phục vụ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</si>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</sst>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0.00_ "/>
    <numFmt numFmtId="165" formatCode="0_ "/>
    <numFmt numFmtId="170" formatCode="0.0"/>
  </numFmts>
  <fonts count="19">
    <font>
      <sz val="12"/>
      <color theme="1"/>
      <name val="Arial"/>
      <family val="2"/>
      <scheme val="minor"/>
    </font>
    <font>
      <sz val="12"/>
      <color theme="1"/>
      <name val="Arial"/>
      <charset val="134"/>
      <scheme val="minor"/>
    </font>
    <font>
      <sz val="12"/>
      <name val="新細明體"/>
      <charset val="134"/>
    </font>
    <font>
      <b/>
      <sz val="22"/>
      <color theme="1"/>
      <name val="SimSun"/>
      <charset val="134"/>
    </font>
    <font>
      <b/>
      <sz val="22"/>
      <color theme="1"/>
      <name val="Times New Roman"/>
      <charset val="134"/>
    </font>
    <font>
      <b/>
      <sz val="34"/>
      <color theme="1"/>
      <name val="Times New Roman"/>
      <charset val="134"/>
    </font>
    <font>
      <sz val="30"/>
      <name val="Times New Roman"/>
      <charset val="134"/>
    </font>
    <font>
      <sz val="16"/>
      <name val="Times New Roman"/>
      <family val="1"/>
    </font>
    <font>
      <sz val="16"/>
      <name val="宋体"/>
      <charset val="134"/>
    </font>
    <font>
      <sz val="16"/>
      <color theme="1"/>
      <name val="Times New Roman"/>
      <family val="1"/>
    </font>
    <font>
      <b/>
      <sz val="16"/>
      <name val="Times New Roman"/>
      <family val="1"/>
    </font>
    <font>
      <sz val="18"/>
      <color theme="1"/>
      <name val="Arial"/>
      <family val="2"/>
      <scheme val="minor"/>
    </font>
    <font>
      <b/>
      <sz val="34"/>
      <color rgb="FF000000"/>
      <name val="SimSun"/>
      <charset val="134"/>
    </font>
    <font>
      <b/>
      <sz val="34"/>
      <color rgb="FF000000"/>
      <name val="Times New Roman"/>
      <charset val="134"/>
    </font>
    <font>
      <sz val="34"/>
      <name val="Times New Roman"/>
      <charset val="134"/>
    </font>
    <font>
      <sz val="24"/>
      <name val="Times New Roman"/>
      <charset val="134"/>
    </font>
    <font>
      <sz val="32"/>
      <name val="Times New Roman"/>
      <charset val="134"/>
    </font>
    <font>
      <b/>
      <sz val="32"/>
      <name val="Times New Roman"/>
      <charset val="134"/>
    </font>
    <font>
      <b/>
      <sz val="32"/>
      <color rgb="FFFF000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72">
    <xf numFmtId="0" fontId="0" fillId="0" borderId="0" xfId="0"/>
    <xf numFmtId="49" fontId="6" fillId="0" borderId="2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vertical="center"/>
    </xf>
    <xf numFmtId="0" fontId="10" fillId="0" borderId="2" xfId="2" applyFont="1" applyBorder="1" applyAlignment="1">
      <alignment vertical="center" wrapText="1"/>
    </xf>
    <xf numFmtId="1" fontId="10" fillId="2" borderId="2" xfId="2" applyNumberFormat="1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" fontId="10" fillId="2" borderId="3" xfId="2" applyNumberFormat="1" applyFont="1" applyFill="1" applyBorder="1" applyAlignment="1">
      <alignment vertical="center" wrapText="1"/>
    </xf>
    <xf numFmtId="1" fontId="10" fillId="2" borderId="1" xfId="2" applyNumberFormat="1" applyFont="1" applyFill="1" applyBorder="1" applyAlignment="1">
      <alignment vertical="center" wrapText="1"/>
    </xf>
    <xf numFmtId="164" fontId="9" fillId="0" borderId="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9" fillId="0" borderId="4" xfId="0" applyNumberFormat="1" applyFont="1" applyBorder="1" applyAlignment="1">
      <alignment vertical="center"/>
    </xf>
    <xf numFmtId="165" fontId="7" fillId="0" borderId="3" xfId="0" applyNumberFormat="1" applyFont="1" applyBorder="1" applyAlignment="1">
      <alignment horizontal="center" vertical="center" shrinkToFit="1"/>
    </xf>
    <xf numFmtId="41" fontId="7" fillId="2" borderId="3" xfId="0" applyNumberFormat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wrapText="1"/>
    </xf>
    <xf numFmtId="0" fontId="10" fillId="2" borderId="2" xfId="2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vertical="center" shrinkToFit="1"/>
    </xf>
    <xf numFmtId="165" fontId="7" fillId="0" borderId="3" xfId="0" applyNumberFormat="1" applyFont="1" applyBorder="1" applyAlignment="1">
      <alignment vertical="center" shrinkToFit="1"/>
    </xf>
    <xf numFmtId="165" fontId="7" fillId="0" borderId="4" xfId="0" applyNumberFormat="1" applyFont="1" applyBorder="1" applyAlignment="1">
      <alignment vertical="center" shrinkToFit="1"/>
    </xf>
    <xf numFmtId="41" fontId="7" fillId="2" borderId="1" xfId="0" applyNumberFormat="1" applyFont="1" applyFill="1" applyBorder="1" applyAlignment="1">
      <alignment vertical="center"/>
    </xf>
    <xf numFmtId="41" fontId="7" fillId="2" borderId="3" xfId="0" applyNumberFormat="1" applyFont="1" applyFill="1" applyBorder="1" applyAlignment="1">
      <alignment vertical="center"/>
    </xf>
    <xf numFmtId="41" fontId="7" fillId="2" borderId="4" xfId="0" applyNumberFormat="1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3" fontId="10" fillId="2" borderId="4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shrinkToFit="1"/>
    </xf>
    <xf numFmtId="165" fontId="7" fillId="0" borderId="4" xfId="0" applyNumberFormat="1" applyFont="1" applyBorder="1" applyAlignment="1">
      <alignment horizontal="center" vertical="center" shrinkToFit="1"/>
    </xf>
    <xf numFmtId="41" fontId="7" fillId="2" borderId="1" xfId="0" applyNumberFormat="1" applyFont="1" applyFill="1" applyBorder="1" applyAlignment="1">
      <alignment horizontal="center" vertical="center"/>
    </xf>
    <xf numFmtId="41" fontId="7" fillId="2" borderId="4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2" fillId="3" borderId="2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14" fillId="3" borderId="6" xfId="0" applyFont="1" applyFill="1" applyBorder="1" applyAlignment="1" applyProtection="1">
      <alignment vertical="center" shrinkToFit="1"/>
      <protection locked="0"/>
    </xf>
    <xf numFmtId="0" fontId="14" fillId="3" borderId="6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vertical="center" wrapText="1" shrinkToFit="1"/>
    </xf>
    <xf numFmtId="165" fontId="16" fillId="3" borderId="6" xfId="0" applyNumberFormat="1" applyFont="1" applyFill="1" applyBorder="1" applyAlignment="1">
      <alignment vertical="center" shrinkToFit="1"/>
    </xf>
    <xf numFmtId="170" fontId="17" fillId="3" borderId="6" xfId="0" applyNumberFormat="1" applyFont="1" applyFill="1" applyBorder="1" applyAlignment="1">
      <alignment vertical="center" wrapText="1"/>
    </xf>
    <xf numFmtId="1" fontId="17" fillId="3" borderId="7" xfId="0" applyNumberFormat="1" applyFont="1" applyFill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3" fontId="18" fillId="0" borderId="6" xfId="0" applyNumberFormat="1" applyFont="1" applyBorder="1" applyAlignment="1">
      <alignment horizontal="center" vertical="center" wrapText="1"/>
    </xf>
  </cellXfs>
  <cellStyles count="3">
    <cellStyle name="Bình thường" xfId="0" builtinId="0"/>
    <cellStyle name="常规 2" xfId="1"/>
    <cellStyle name="常规_Sheet1" xfId="2"/>
  </cellStyles>
  <dxfs count="1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9525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9" r="32500" b="70689"/>
        <a:stretch>
          <a:fillRect/>
        </a:stretch>
      </xdr:blipFill>
      <xdr:spPr>
        <a:xfrm>
          <a:off x="10877550" y="16744950"/>
          <a:ext cx="190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19050</xdr:colOff>
      <xdr:row>1</xdr:row>
      <xdr:rowOff>9525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9" r="32500" b="70689"/>
        <a:stretch>
          <a:fillRect/>
        </a:stretch>
      </xdr:blipFill>
      <xdr:spPr>
        <a:xfrm>
          <a:off x="10220325" y="16744950"/>
          <a:ext cx="190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657225</xdr:colOff>
      <xdr:row>12</xdr:row>
      <xdr:rowOff>114300</xdr:rowOff>
    </xdr:from>
    <xdr:to>
      <xdr:col>5</xdr:col>
      <xdr:colOff>676275</xdr:colOff>
      <xdr:row>12</xdr:row>
      <xdr:rowOff>123825</xdr:rowOff>
    </xdr:to>
    <xdr:pic>
      <xdr:nvPicPr>
        <xdr:cNvPr id="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9" r="32500" b="70689"/>
        <a:stretch>
          <a:fillRect/>
        </a:stretch>
      </xdr:blipFill>
      <xdr:spPr>
        <a:xfrm>
          <a:off x="10872788" y="16859250"/>
          <a:ext cx="190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</xdr:row>
      <xdr:rowOff>114300</xdr:rowOff>
    </xdr:from>
    <xdr:to>
      <xdr:col>5</xdr:col>
      <xdr:colOff>19050</xdr:colOff>
      <xdr:row>12</xdr:row>
      <xdr:rowOff>123825</xdr:rowOff>
    </xdr:to>
    <xdr:pic>
      <xdr:nvPicPr>
        <xdr:cNvPr id="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9" r="32500" b="70689"/>
        <a:stretch>
          <a:fillRect/>
        </a:stretch>
      </xdr:blipFill>
      <xdr:spPr>
        <a:xfrm>
          <a:off x="10215563" y="16859250"/>
          <a:ext cx="1905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topLeftCell="A4" zoomScale="55" zoomScaleNormal="55" workbookViewId="0">
      <selection activeCell="D18" sqref="D18"/>
    </sheetView>
  </sheetViews>
  <sheetFormatPr defaultRowHeight="15"/>
  <cols>
    <col min="1" max="1" width="24" customWidth="1"/>
    <col min="2" max="2" width="16" customWidth="1"/>
    <col min="3" max="3" width="33.88671875" customWidth="1"/>
    <col min="4" max="4" width="29.21875" customWidth="1"/>
    <col min="5" max="5" width="32" customWidth="1"/>
    <col min="6" max="6" width="23.77734375" customWidth="1"/>
    <col min="7" max="7" width="19.77734375" customWidth="1"/>
    <col min="8" max="8" width="31.88671875" customWidth="1"/>
    <col min="9" max="9" width="20.44140625" customWidth="1"/>
    <col min="10" max="10" width="16.6640625" customWidth="1"/>
    <col min="11" max="11" width="22" customWidth="1"/>
    <col min="12" max="12" width="22.21875" customWidth="1"/>
    <col min="13" max="13" width="17.109375" customWidth="1"/>
    <col min="14" max="14" width="18.77734375" customWidth="1"/>
    <col min="15" max="15" width="22.44140625" customWidth="1"/>
    <col min="16" max="16" width="16.88671875" customWidth="1"/>
    <col min="17" max="17" width="24" customWidth="1"/>
    <col min="18" max="18" width="31.21875" customWidth="1"/>
    <col min="19" max="19" width="46.109375" customWidth="1"/>
    <col min="20" max="20" width="41.109375" customWidth="1"/>
    <col min="21" max="21" width="30.33203125" customWidth="1"/>
  </cols>
  <sheetData>
    <row r="1" spans="1:21" s="19" customFormat="1" ht="23.25">
      <c r="A1" s="19" t="s">
        <v>0</v>
      </c>
      <c r="B1" s="19" t="s">
        <v>40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41</v>
      </c>
      <c r="J1" s="19" t="s">
        <v>25</v>
      </c>
      <c r="K1" s="19" t="s">
        <v>8</v>
      </c>
      <c r="L1" s="19" t="s">
        <v>26</v>
      </c>
      <c r="M1" s="19" t="s">
        <v>27</v>
      </c>
      <c r="N1" s="19" t="s">
        <v>28</v>
      </c>
      <c r="O1" s="19" t="s">
        <v>7</v>
      </c>
      <c r="P1" s="19" t="s">
        <v>29</v>
      </c>
      <c r="Q1" s="19" t="s">
        <v>30</v>
      </c>
      <c r="R1" s="19" t="s">
        <v>9</v>
      </c>
      <c r="S1" s="19" t="s">
        <v>31</v>
      </c>
      <c r="T1" s="19" t="s">
        <v>10</v>
      </c>
      <c r="U1" s="19" t="s">
        <v>11</v>
      </c>
    </row>
    <row r="2" spans="1:21" ht="192.75" customHeight="1">
      <c r="A2" s="24" t="s">
        <v>42</v>
      </c>
      <c r="B2" s="29" t="s">
        <v>32</v>
      </c>
      <c r="C2" s="32" t="s">
        <v>12</v>
      </c>
      <c r="D2" s="2" t="s">
        <v>13</v>
      </c>
      <c r="E2" s="3" t="s">
        <v>43</v>
      </c>
      <c r="F2" s="26" t="s">
        <v>14</v>
      </c>
      <c r="G2" s="26" t="s">
        <v>15</v>
      </c>
      <c r="H2" s="26" t="s">
        <v>44</v>
      </c>
      <c r="I2" s="4">
        <v>2</v>
      </c>
      <c r="J2" s="4">
        <v>2</v>
      </c>
      <c r="K2" s="22">
        <v>33</v>
      </c>
      <c r="L2" s="5">
        <v>3.15</v>
      </c>
      <c r="M2" s="45">
        <f>(L2+L3+L4+L5)*2+9</f>
        <v>28.6</v>
      </c>
      <c r="N2" s="6"/>
      <c r="O2" s="22" t="s">
        <v>33</v>
      </c>
      <c r="P2" s="35">
        <v>397</v>
      </c>
      <c r="Q2" s="38">
        <v>15.88</v>
      </c>
      <c r="R2" s="7">
        <v>35000</v>
      </c>
      <c r="S2" s="8">
        <f t="shared" ref="S2:S12" si="0">R2/I2</f>
        <v>17500</v>
      </c>
      <c r="T2" s="48">
        <v>1080</v>
      </c>
      <c r="U2" s="41">
        <f>T2*S2</f>
        <v>18900000</v>
      </c>
    </row>
    <row r="3" spans="1:21" ht="21">
      <c r="A3" s="25"/>
      <c r="B3" s="30"/>
      <c r="C3" s="33"/>
      <c r="D3" s="2" t="s">
        <v>16</v>
      </c>
      <c r="E3" s="3" t="s">
        <v>45</v>
      </c>
      <c r="F3" s="27"/>
      <c r="G3" s="27"/>
      <c r="H3" s="27"/>
      <c r="I3" s="4">
        <v>2</v>
      </c>
      <c r="J3" s="4">
        <v>2</v>
      </c>
      <c r="K3" s="44"/>
      <c r="L3" s="5">
        <v>3.1</v>
      </c>
      <c r="M3" s="46"/>
      <c r="N3" s="6"/>
      <c r="O3" s="44"/>
      <c r="P3" s="36"/>
      <c r="Q3" s="39"/>
      <c r="R3" s="7">
        <v>35000</v>
      </c>
      <c r="S3" s="8">
        <f t="shared" si="0"/>
        <v>17500</v>
      </c>
      <c r="T3" s="49"/>
      <c r="U3" s="42"/>
    </row>
    <row r="4" spans="1:21" ht="21">
      <c r="A4" s="25"/>
      <c r="B4" s="30"/>
      <c r="C4" s="33"/>
      <c r="D4" s="2" t="s">
        <v>34</v>
      </c>
      <c r="E4" s="3" t="s">
        <v>46</v>
      </c>
      <c r="F4" s="27"/>
      <c r="G4" s="27"/>
      <c r="H4" s="27"/>
      <c r="I4" s="4">
        <v>2</v>
      </c>
      <c r="J4" s="4">
        <v>2</v>
      </c>
      <c r="K4" s="44"/>
      <c r="L4" s="5">
        <v>1.8</v>
      </c>
      <c r="M4" s="46"/>
      <c r="N4" s="6"/>
      <c r="O4" s="44"/>
      <c r="P4" s="36"/>
      <c r="Q4" s="39"/>
      <c r="R4" s="7">
        <v>35000</v>
      </c>
      <c r="S4" s="8">
        <f t="shared" si="0"/>
        <v>17500</v>
      </c>
      <c r="T4" s="49"/>
      <c r="U4" s="42"/>
    </row>
    <row r="5" spans="1:21" ht="21">
      <c r="A5" s="25"/>
      <c r="B5" s="30"/>
      <c r="C5" s="34"/>
      <c r="D5" s="2" t="s">
        <v>35</v>
      </c>
      <c r="E5" s="3" t="s">
        <v>47</v>
      </c>
      <c r="F5" s="28"/>
      <c r="G5" s="28"/>
      <c r="H5" s="28"/>
      <c r="I5" s="4">
        <v>2</v>
      </c>
      <c r="J5" s="4">
        <v>2</v>
      </c>
      <c r="K5" s="23"/>
      <c r="L5" s="10">
        <v>1.75</v>
      </c>
      <c r="M5" s="47"/>
      <c r="N5" s="6"/>
      <c r="O5" s="23"/>
      <c r="P5" s="37"/>
      <c r="Q5" s="40"/>
      <c r="R5" s="7">
        <v>35000</v>
      </c>
      <c r="S5" s="8">
        <f t="shared" si="0"/>
        <v>17500</v>
      </c>
      <c r="T5" s="50"/>
      <c r="U5" s="43"/>
    </row>
    <row r="6" spans="1:21" ht="192.75" customHeight="1">
      <c r="A6" s="25"/>
      <c r="B6" s="30"/>
      <c r="C6" s="32" t="s">
        <v>17</v>
      </c>
      <c r="D6" s="2" t="s">
        <v>36</v>
      </c>
      <c r="E6" s="3" t="s">
        <v>48</v>
      </c>
      <c r="F6" s="26" t="s">
        <v>14</v>
      </c>
      <c r="G6" s="26" t="s">
        <v>19</v>
      </c>
      <c r="H6" s="26" t="s">
        <v>49</v>
      </c>
      <c r="I6" s="4">
        <v>2</v>
      </c>
      <c r="J6" s="4">
        <v>2</v>
      </c>
      <c r="K6" s="22">
        <v>33</v>
      </c>
      <c r="L6" s="5">
        <v>4.3</v>
      </c>
      <c r="M6" s="55">
        <v>31</v>
      </c>
      <c r="N6" s="6"/>
      <c r="O6" s="22" t="s">
        <v>33</v>
      </c>
      <c r="P6" s="35">
        <v>591</v>
      </c>
      <c r="Q6" s="38">
        <v>23.64</v>
      </c>
      <c r="R6" s="7">
        <v>35000</v>
      </c>
      <c r="S6" s="11">
        <f t="shared" si="0"/>
        <v>17500</v>
      </c>
      <c r="T6" s="48">
        <v>1080</v>
      </c>
      <c r="U6" s="41">
        <f>T6*S7</f>
        <v>18900000</v>
      </c>
    </row>
    <row r="7" spans="1:21" ht="21">
      <c r="A7" s="25"/>
      <c r="B7" s="30"/>
      <c r="C7" s="33"/>
      <c r="D7" s="2" t="s">
        <v>18</v>
      </c>
      <c r="E7" s="3" t="s">
        <v>50</v>
      </c>
      <c r="F7" s="27"/>
      <c r="G7" s="27"/>
      <c r="H7" s="27"/>
      <c r="I7" s="4">
        <v>2</v>
      </c>
      <c r="J7" s="4">
        <v>2</v>
      </c>
      <c r="K7" s="44"/>
      <c r="L7" s="5">
        <v>3.85</v>
      </c>
      <c r="M7" s="56"/>
      <c r="N7" s="6"/>
      <c r="O7" s="44"/>
      <c r="P7" s="36"/>
      <c r="Q7" s="39"/>
      <c r="R7" s="7">
        <v>35000</v>
      </c>
      <c r="S7" s="12">
        <f t="shared" si="0"/>
        <v>17500</v>
      </c>
      <c r="T7" s="49"/>
      <c r="U7" s="42"/>
    </row>
    <row r="8" spans="1:21" ht="21">
      <c r="A8" s="25"/>
      <c r="B8" s="30"/>
      <c r="C8" s="33"/>
      <c r="D8" s="2" t="s">
        <v>37</v>
      </c>
      <c r="E8" s="3" t="s">
        <v>51</v>
      </c>
      <c r="F8" s="27"/>
      <c r="G8" s="27"/>
      <c r="H8" s="27"/>
      <c r="I8" s="4">
        <v>4</v>
      </c>
      <c r="J8" s="4">
        <v>2</v>
      </c>
      <c r="K8" s="44"/>
      <c r="L8" s="5">
        <v>0.9</v>
      </c>
      <c r="M8" s="56"/>
      <c r="N8" s="6"/>
      <c r="O8" s="44"/>
      <c r="P8" s="36"/>
      <c r="Q8" s="39"/>
      <c r="R8" s="7">
        <v>35000</v>
      </c>
      <c r="S8" s="12">
        <f t="shared" si="0"/>
        <v>8750</v>
      </c>
      <c r="T8" s="49"/>
      <c r="U8" s="42"/>
    </row>
    <row r="9" spans="1:21" ht="41.25">
      <c r="A9" s="25"/>
      <c r="B9" s="30"/>
      <c r="C9" s="34"/>
      <c r="D9" s="2" t="s">
        <v>38</v>
      </c>
      <c r="E9" s="3" t="s">
        <v>52</v>
      </c>
      <c r="F9" s="28"/>
      <c r="G9" s="28"/>
      <c r="H9" s="28"/>
      <c r="I9" s="4">
        <v>2</v>
      </c>
      <c r="J9" s="4">
        <v>2</v>
      </c>
      <c r="K9" s="23"/>
      <c r="L9" s="5">
        <v>0.2</v>
      </c>
      <c r="M9" s="57"/>
      <c r="N9" s="6"/>
      <c r="O9" s="23"/>
      <c r="P9" s="37"/>
      <c r="Q9" s="40"/>
      <c r="R9" s="7">
        <v>35000</v>
      </c>
      <c r="S9" s="12">
        <f t="shared" si="0"/>
        <v>17500</v>
      </c>
      <c r="T9" s="50"/>
      <c r="U9" s="43"/>
    </row>
    <row r="10" spans="1:21" ht="76.5">
      <c r="A10" s="25"/>
      <c r="B10" s="30"/>
      <c r="C10" s="1" t="s">
        <v>20</v>
      </c>
      <c r="D10" s="2" t="s">
        <v>21</v>
      </c>
      <c r="E10" s="3" t="s">
        <v>53</v>
      </c>
      <c r="F10" s="2" t="s">
        <v>54</v>
      </c>
      <c r="G10" s="2" t="s">
        <v>22</v>
      </c>
      <c r="H10" s="2" t="s">
        <v>55</v>
      </c>
      <c r="I10" s="4">
        <v>4</v>
      </c>
      <c r="J10" s="4">
        <v>4</v>
      </c>
      <c r="K10" s="14">
        <v>35</v>
      </c>
      <c r="L10" s="13">
        <v>3.65</v>
      </c>
      <c r="M10" s="5">
        <v>22.5</v>
      </c>
      <c r="N10" s="15"/>
      <c r="O10" s="9" t="s">
        <v>33</v>
      </c>
      <c r="P10" s="16">
        <v>151</v>
      </c>
      <c r="Q10" s="17">
        <v>6.04</v>
      </c>
      <c r="R10" s="7">
        <v>35000</v>
      </c>
      <c r="S10" s="12">
        <f t="shared" si="0"/>
        <v>8750</v>
      </c>
      <c r="T10" s="21">
        <v>1155</v>
      </c>
      <c r="U10" s="18">
        <f>T10*S10</f>
        <v>10106250</v>
      </c>
    </row>
    <row r="11" spans="1:21" ht="191.25" customHeight="1">
      <c r="A11" s="25"/>
      <c r="B11" s="30"/>
      <c r="C11" s="32" t="s">
        <v>20</v>
      </c>
      <c r="D11" s="2" t="s">
        <v>23</v>
      </c>
      <c r="E11" s="3" t="s">
        <v>56</v>
      </c>
      <c r="F11" s="26" t="s">
        <v>54</v>
      </c>
      <c r="G11" s="26" t="s">
        <v>24</v>
      </c>
      <c r="H11" s="26" t="s">
        <v>57</v>
      </c>
      <c r="I11" s="4">
        <v>4</v>
      </c>
      <c r="J11" s="4">
        <v>4</v>
      </c>
      <c r="K11" s="58">
        <v>35</v>
      </c>
      <c r="L11" s="10">
        <v>0.6</v>
      </c>
      <c r="M11" s="45">
        <v>13.7</v>
      </c>
      <c r="N11" s="6"/>
      <c r="O11" s="22" t="s">
        <v>33</v>
      </c>
      <c r="P11" s="51">
        <v>57</v>
      </c>
      <c r="Q11" s="53">
        <v>2.2799999999999998</v>
      </c>
      <c r="R11" s="7">
        <v>35000</v>
      </c>
      <c r="S11" s="12">
        <f t="shared" si="0"/>
        <v>8750</v>
      </c>
      <c r="T11" s="48">
        <v>1155</v>
      </c>
      <c r="U11" s="41">
        <f>T11*S11</f>
        <v>10106250</v>
      </c>
    </row>
    <row r="12" spans="1:21" ht="21">
      <c r="A12" s="25"/>
      <c r="B12" s="31"/>
      <c r="C12" s="34"/>
      <c r="D12" s="2" t="s">
        <v>39</v>
      </c>
      <c r="E12" s="3" t="s">
        <v>58</v>
      </c>
      <c r="F12" s="28"/>
      <c r="G12" s="28"/>
      <c r="H12" s="28"/>
      <c r="I12" s="4">
        <v>4</v>
      </c>
      <c r="J12" s="4">
        <v>4</v>
      </c>
      <c r="K12" s="59"/>
      <c r="L12" s="10">
        <v>0.7</v>
      </c>
      <c r="M12" s="47"/>
      <c r="N12" s="6"/>
      <c r="O12" s="23"/>
      <c r="P12" s="52"/>
      <c r="Q12" s="54"/>
      <c r="R12" s="7">
        <v>35000</v>
      </c>
      <c r="S12" s="12">
        <f t="shared" si="0"/>
        <v>8750</v>
      </c>
      <c r="T12" s="50"/>
      <c r="U12" s="43"/>
    </row>
    <row r="13" spans="1:21" ht="42.75">
      <c r="A13" s="60" t="s">
        <v>74</v>
      </c>
      <c r="B13" s="60"/>
      <c r="C13" s="61"/>
      <c r="D13" s="62"/>
      <c r="E13" s="63"/>
      <c r="F13" s="64"/>
      <c r="G13" s="65"/>
      <c r="H13" s="65"/>
      <c r="I13" s="65"/>
      <c r="J13" s="63"/>
      <c r="K13" s="63"/>
      <c r="L13" s="63"/>
      <c r="M13" s="63"/>
      <c r="N13" s="63"/>
      <c r="O13" s="66"/>
      <c r="P13" s="67">
        <v>1196</v>
      </c>
      <c r="Q13" s="67">
        <v>48</v>
      </c>
      <c r="R13" s="68"/>
      <c r="S13" s="69"/>
      <c r="T13" s="70"/>
      <c r="U13" s="71">
        <v>58012500</v>
      </c>
    </row>
  </sheetData>
  <mergeCells count="35">
    <mergeCell ref="U11:U12"/>
    <mergeCell ref="U6:U9"/>
    <mergeCell ref="T6:T9"/>
    <mergeCell ref="T11:T12"/>
    <mergeCell ref="P6:P9"/>
    <mergeCell ref="Q6:Q9"/>
    <mergeCell ref="P2:P5"/>
    <mergeCell ref="G11:G12"/>
    <mergeCell ref="H11:H12"/>
    <mergeCell ref="Q2:Q5"/>
    <mergeCell ref="U2:U5"/>
    <mergeCell ref="K2:K5"/>
    <mergeCell ref="M2:M5"/>
    <mergeCell ref="O2:O5"/>
    <mergeCell ref="T2:T5"/>
    <mergeCell ref="P11:P12"/>
    <mergeCell ref="Q11:Q12"/>
    <mergeCell ref="K6:K9"/>
    <mergeCell ref="M6:M9"/>
    <mergeCell ref="O6:O9"/>
    <mergeCell ref="K11:K12"/>
    <mergeCell ref="M11:M12"/>
    <mergeCell ref="O11:O12"/>
    <mergeCell ref="A2:A12"/>
    <mergeCell ref="G2:G5"/>
    <mergeCell ref="H2:H5"/>
    <mergeCell ref="B2:B12"/>
    <mergeCell ref="C2:C5"/>
    <mergeCell ref="F2:F5"/>
    <mergeCell ref="G6:G9"/>
    <mergeCell ref="H6:H9"/>
    <mergeCell ref="C6:C9"/>
    <mergeCell ref="F6:F9"/>
    <mergeCell ref="C11:C12"/>
    <mergeCell ref="F11:F12"/>
  </mergeCells>
  <conditionalFormatting sqref="C2 C5">
    <cfRule type="expression" dxfId="0" priority="1" stopIfTrue="1">
      <formula>AND(COUNTIF($A$8:$A$9,C2)&gt;1,NOT(ISBLANK(C2)))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B11" sqref="B11"/>
    </sheetView>
  </sheetViews>
  <sheetFormatPr defaultRowHeight="15"/>
  <cols>
    <col min="1" max="1" width="23.33203125" customWidth="1"/>
    <col min="2" max="2" width="19.88671875" customWidth="1"/>
    <col min="3" max="3" width="21.77734375" customWidth="1"/>
    <col min="4" max="4" width="18.88671875" customWidth="1"/>
    <col min="5" max="6" width="17.88671875" customWidth="1"/>
  </cols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 t="s">
        <v>69</v>
      </c>
      <c r="B2" t="s">
        <v>65</v>
      </c>
      <c r="C2" t="s">
        <v>66</v>
      </c>
      <c r="D2" t="s">
        <v>67</v>
      </c>
      <c r="E2">
        <v>10000</v>
      </c>
      <c r="F2" s="20" t="s">
        <v>68</v>
      </c>
    </row>
    <row r="3" spans="1:6">
      <c r="A3" t="s">
        <v>70</v>
      </c>
      <c r="B3" t="s">
        <v>71</v>
      </c>
      <c r="C3" t="s">
        <v>72</v>
      </c>
      <c r="D3" t="s">
        <v>67</v>
      </c>
      <c r="E3">
        <v>10</v>
      </c>
      <c r="F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NHAP_PO</vt:lpstr>
      <vt:lpstr>NHAP_NGUYEN_VAT_LIEU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PC-1</cp:lastModifiedBy>
  <dcterms:modified xsi:type="dcterms:W3CDTF">2026-01-09T16:15:09Z</dcterms:modified>
</cp:coreProperties>
</file>